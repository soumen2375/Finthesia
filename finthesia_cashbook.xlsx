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hbook" sheetId="1" state="visible" r:id="rId1"/>
    <sheet xmlns:r="http://schemas.openxmlformats.org/officeDocument/2006/relationships" name="Ledger Summary" sheetId="2" state="visible" r:id="rId2"/>
    <sheet xmlns:r="http://schemas.openxmlformats.org/officeDocument/2006/relationships" name="Balance Tr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&quot;-&quot;"/>
  </numFmts>
  <fonts count="25">
    <font>
      <name val="Calibri"/>
      <family val="2"/>
      <color theme="1"/>
      <sz val="11"/>
      <scheme val="minor"/>
    </font>
    <font>
      <name val="Arial"/>
      <b val="1"/>
      <color rgb="002D3A4A"/>
      <sz val="13"/>
    </font>
    <font>
      <name val="Arial"/>
      <color rgb="007F8C8D"/>
      <sz val="8"/>
    </font>
    <font>
      <name val="Arial"/>
      <b val="1"/>
      <color rgb="002D3A4A"/>
      <sz val="8"/>
    </font>
    <font>
      <name val="Arial"/>
      <b val="1"/>
      <color rgb="001BAF6A"/>
      <sz val="8"/>
    </font>
    <font>
      <name val="Arial"/>
      <b val="1"/>
      <color rgb="00E74C3C"/>
      <sz val="8"/>
    </font>
    <font>
      <name val="Arial"/>
      <b val="1"/>
      <color rgb="0000BFDF"/>
      <sz val="8"/>
    </font>
    <font>
      <name val="Arial"/>
      <b val="1"/>
      <color rgb="002D3A4A"/>
      <sz val="14"/>
    </font>
    <font>
      <name val="Arial"/>
      <b val="1"/>
      <color rgb="001BAF6A"/>
      <sz val="14"/>
    </font>
    <font>
      <name val="Arial"/>
      <b val="1"/>
      <color rgb="00E74C3C"/>
      <sz val="14"/>
    </font>
    <font>
      <name val="Arial"/>
      <b val="1"/>
      <color rgb="0000BFDF"/>
      <sz val="14"/>
    </font>
    <font>
      <name val="Arial"/>
      <b val="1"/>
      <color rgb="00FFFFFF"/>
      <sz val="9"/>
    </font>
    <font>
      <name val="Arial"/>
      <color rgb="003D4F63"/>
      <sz val="8"/>
    </font>
    <font>
      <name val="Arial"/>
      <color rgb="002D3A4A"/>
      <sz val="8"/>
    </font>
    <font>
      <name val="Arial"/>
      <b val="1"/>
      <color rgb="00FFB3AE"/>
      <sz val="9"/>
    </font>
    <font>
      <name val="Arial"/>
      <b val="1"/>
      <color rgb="00A8EFC7"/>
      <sz val="9"/>
    </font>
    <font>
      <name val="Arial"/>
      <b val="1"/>
      <color rgb="0000BFDF"/>
      <sz val="9"/>
    </font>
    <font>
      <name val="Arial"/>
      <color rgb="007F8C8D"/>
      <sz val="7"/>
    </font>
    <font>
      <name val="Arial"/>
      <b val="1"/>
      <color rgb="00FFFFFF"/>
      <sz val="13"/>
    </font>
    <font>
      <name val="Arial"/>
      <color rgb="002D3A4A"/>
      <sz val="9"/>
    </font>
    <font>
      <name val="Arial"/>
      <color rgb="007F8C8D"/>
      <sz val="9"/>
    </font>
    <font>
      <name val="Arial"/>
      <color rgb="001BAF6A"/>
      <sz val="9"/>
    </font>
    <font>
      <name val="Arial"/>
      <b val="1"/>
      <color rgb="001BAF6A"/>
      <sz val="9"/>
    </font>
    <font>
      <name val="Arial"/>
      <color rgb="00E74C3C"/>
      <sz val="9"/>
    </font>
    <font>
      <name val="Arial"/>
      <b val="1"/>
      <color rgb="00E74C3C"/>
      <sz val="9"/>
    </font>
  </fonts>
  <fills count="9">
    <fill>
      <patternFill/>
    </fill>
    <fill>
      <patternFill patternType="gray125"/>
    </fill>
    <fill>
      <patternFill patternType="solid">
        <fgColor rgb="002D3A4A"/>
      </patternFill>
    </fill>
    <fill>
      <patternFill patternType="solid">
        <fgColor rgb="0000BFDF"/>
      </patternFill>
    </fill>
    <fill>
      <patternFill patternType="solid">
        <fgColor rgb="00FFFFFF"/>
      </patternFill>
    </fill>
    <fill>
      <patternFill patternType="solid">
        <fgColor rgb="00E0F8FD"/>
      </patternFill>
    </fill>
    <fill>
      <patternFill patternType="solid">
        <fgColor rgb="00F2F6F8"/>
      </patternFill>
    </fill>
    <fill>
      <patternFill patternType="solid">
        <fgColor rgb="00E8F8F0"/>
      </patternFill>
    </fill>
    <fill>
      <patternFill patternType="solid">
        <fgColor rgb="00FEF0EF"/>
      </patternFill>
    </fill>
  </fills>
  <borders count="3">
    <border>
      <left/>
      <right/>
      <top/>
      <bottom/>
      <diagonal/>
    </border>
    <border>
      <bottom style="medium">
        <color rgb="0000BFDF"/>
      </bottom>
    </border>
    <border>
      <bottom style="thin">
        <color rgb="00DDE4E8"/>
      </bottom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1" fillId="4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right" vertical="center"/>
    </xf>
    <xf numFmtId="0" fontId="0" fillId="5" borderId="0" pivotButton="0" quotePrefix="0" xfId="0"/>
    <xf numFmtId="0" fontId="3" fillId="6" borderId="0" applyAlignment="1" pivotButton="0" quotePrefix="0" xfId="0">
      <alignment horizontal="center" vertical="bottom"/>
    </xf>
    <xf numFmtId="0" fontId="0" fillId="6" borderId="0" pivotButton="0" quotePrefix="0" xfId="0"/>
    <xf numFmtId="0" fontId="4" fillId="7" borderId="0" applyAlignment="1" pivotButton="0" quotePrefix="0" xfId="0">
      <alignment horizontal="center" vertical="bottom"/>
    </xf>
    <xf numFmtId="0" fontId="0" fillId="7" borderId="0" pivotButton="0" quotePrefix="0" xfId="0"/>
    <xf numFmtId="0" fontId="5" fillId="8" borderId="0" applyAlignment="1" pivotButton="0" quotePrefix="0" xfId="0">
      <alignment horizontal="center" vertical="bottom"/>
    </xf>
    <xf numFmtId="0" fontId="0" fillId="8" borderId="0" pivotButton="0" quotePrefix="0" xfId="0"/>
    <xf numFmtId="0" fontId="6" fillId="5" borderId="0" applyAlignment="1" pivotButton="0" quotePrefix="0" xfId="0">
      <alignment horizontal="center" vertical="bottom"/>
    </xf>
    <xf numFmtId="164" fontId="7" fillId="6" borderId="0" applyAlignment="1" pivotButton="0" quotePrefix="0" xfId="0">
      <alignment horizontal="center" vertical="top"/>
    </xf>
    <xf numFmtId="164" fontId="8" fillId="7" borderId="0" applyAlignment="1" pivotButton="0" quotePrefix="0" xfId="0">
      <alignment horizontal="center" vertical="top"/>
    </xf>
    <xf numFmtId="164" fontId="9" fillId="8" borderId="0" applyAlignment="1" pivotButton="0" quotePrefix="0" xfId="0">
      <alignment horizontal="center" vertical="top"/>
    </xf>
    <xf numFmtId="164" fontId="10" fillId="5" borderId="0" applyAlignment="1" pivotButton="0" quotePrefix="0" xfId="0">
      <alignment horizontal="center" vertical="top"/>
    </xf>
    <xf numFmtId="0" fontId="11" fillId="2" borderId="1" applyAlignment="1" pivotButton="0" quotePrefix="0" xfId="0">
      <alignment horizontal="center" vertical="center"/>
    </xf>
    <xf numFmtId="0" fontId="2" fillId="4" borderId="2" applyAlignment="1" pivotButton="0" quotePrefix="0" xfId="0">
      <alignment horizontal="center" vertical="center"/>
    </xf>
    <xf numFmtId="0" fontId="12" fillId="4" borderId="2" applyAlignment="1" pivotButton="0" quotePrefix="0" xfId="0">
      <alignment horizontal="left" vertical="center"/>
    </xf>
    <xf numFmtId="0" fontId="13" fillId="4" borderId="2" applyAlignment="1" pivotButton="0" quotePrefix="0" xfId="0">
      <alignment horizontal="left" vertical="center" wrapText="1"/>
    </xf>
    <xf numFmtId="0" fontId="2" fillId="4" borderId="2" applyAlignment="1" pivotButton="0" quotePrefix="0" xfId="0">
      <alignment horizontal="right" vertical="center"/>
    </xf>
    <xf numFmtId="164" fontId="4" fillId="4" borderId="2" applyAlignment="1" pivotButton="0" quotePrefix="0" xfId="0">
      <alignment horizontal="right" vertical="center"/>
    </xf>
    <xf numFmtId="164" fontId="3" fillId="4" borderId="2" applyAlignment="1" pivotButton="0" quotePrefix="0" xfId="0">
      <alignment horizontal="right" vertical="center"/>
    </xf>
    <xf numFmtId="0" fontId="2" fillId="5" borderId="2" applyAlignment="1" pivotButton="0" quotePrefix="0" xfId="0">
      <alignment horizontal="center" vertical="center"/>
    </xf>
    <xf numFmtId="0" fontId="12" fillId="5" borderId="2" applyAlignment="1" pivotButton="0" quotePrefix="0" xfId="0">
      <alignment horizontal="left" vertical="center"/>
    </xf>
    <xf numFmtId="0" fontId="13" fillId="5" borderId="2" applyAlignment="1" pivotButton="0" quotePrefix="0" xfId="0">
      <alignment horizontal="left" vertical="center" wrapText="1"/>
    </xf>
    <xf numFmtId="0" fontId="2" fillId="5" borderId="2" applyAlignment="1" pivotButton="0" quotePrefix="0" xfId="0">
      <alignment horizontal="right" vertical="center"/>
    </xf>
    <xf numFmtId="164" fontId="4" fillId="5" borderId="2" applyAlignment="1" pivotButton="0" quotePrefix="0" xfId="0">
      <alignment horizontal="right" vertical="center"/>
    </xf>
    <xf numFmtId="164" fontId="3" fillId="5" borderId="2" applyAlignment="1" pivotButton="0" quotePrefix="0" xfId="0">
      <alignment horizontal="right" vertical="center"/>
    </xf>
    <xf numFmtId="164" fontId="5" fillId="4" borderId="2" applyAlignment="1" pivotButton="0" quotePrefix="0" xfId="0">
      <alignment horizontal="right" vertical="center"/>
    </xf>
    <xf numFmtId="164" fontId="5" fillId="5" borderId="2" applyAlignment="1" pivotButton="0" quotePrefix="0" xfId="0">
      <alignment horizontal="right" vertical="center"/>
    </xf>
    <xf numFmtId="0" fontId="11" fillId="2" borderId="0" applyAlignment="1" pivotButton="0" quotePrefix="0" xfId="0">
      <alignment horizontal="center" vertical="center"/>
    </xf>
    <xf numFmtId="0" fontId="11" fillId="2" borderId="0" pivotButton="0" quotePrefix="0" xfId="0"/>
    <xf numFmtId="164" fontId="14" fillId="2" borderId="0" applyAlignment="1" pivotButton="0" quotePrefix="0" xfId="0">
      <alignment horizontal="right" vertical="center"/>
    </xf>
    <xf numFmtId="164" fontId="15" fillId="2" borderId="0" applyAlignment="1" pivotButton="0" quotePrefix="0" xfId="0">
      <alignment horizontal="right" vertical="center"/>
    </xf>
    <xf numFmtId="164" fontId="16" fillId="2" borderId="0" applyAlignment="1" pivotButton="0" quotePrefix="0" xfId="0">
      <alignment horizontal="right" vertical="center"/>
    </xf>
    <xf numFmtId="0" fontId="17" fillId="0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/>
    </xf>
    <xf numFmtId="0" fontId="11" fillId="2" borderId="0" applyAlignment="1" pivotButton="0" quotePrefix="0" xfId="0">
      <alignment horizontal="left" vertical="center"/>
    </xf>
    <xf numFmtId="0" fontId="19" fillId="4" borderId="2" applyAlignment="1" pivotButton="0" quotePrefix="0" xfId="0">
      <alignment horizontal="left" vertical="center"/>
    </xf>
    <xf numFmtId="0" fontId="20" fillId="4" borderId="2" applyAlignment="1" pivotButton="0" quotePrefix="0" xfId="0">
      <alignment horizontal="right" vertical="center"/>
    </xf>
    <xf numFmtId="164" fontId="21" fillId="4" borderId="2" applyAlignment="1" pivotButton="0" quotePrefix="0" xfId="0">
      <alignment horizontal="right" vertical="center"/>
    </xf>
    <xf numFmtId="164" fontId="22" fillId="4" borderId="2" applyAlignment="1" pivotButton="0" quotePrefix="0" xfId="0">
      <alignment horizontal="right" vertical="center"/>
    </xf>
    <xf numFmtId="0" fontId="19" fillId="5" borderId="2" applyAlignment="1" pivotButton="0" quotePrefix="0" xfId="0">
      <alignment horizontal="left" vertical="center"/>
    </xf>
    <xf numFmtId="164" fontId="23" fillId="5" borderId="2" applyAlignment="1" pivotButton="0" quotePrefix="0" xfId="0">
      <alignment horizontal="right" vertical="center"/>
    </xf>
    <xf numFmtId="0" fontId="20" fillId="5" borderId="2" applyAlignment="1" pivotButton="0" quotePrefix="0" xfId="0">
      <alignment horizontal="right" vertical="center"/>
    </xf>
    <xf numFmtId="164" fontId="24" fillId="5" borderId="2" applyAlignment="1" pivotButton="0" quotePrefix="0" xfId="0">
      <alignment horizontal="right" vertical="center"/>
    </xf>
    <xf numFmtId="164" fontId="23" fillId="4" borderId="2" applyAlignment="1" pivotButton="0" quotePrefix="0" xfId="0">
      <alignment horizontal="right" vertical="center"/>
    </xf>
    <xf numFmtId="164" fontId="24" fillId="4" borderId="2" applyAlignment="1" pivotButton="0" quotePrefix="0" xfId="0">
      <alignment horizontal="right" vertical="center"/>
    </xf>
    <xf numFmtId="164" fontId="21" fillId="5" borderId="2" applyAlignment="1" pivotButton="0" quotePrefix="0" xfId="0">
      <alignment horizontal="right" vertical="center"/>
    </xf>
    <xf numFmtId="164" fontId="22" fillId="5" borderId="2" applyAlignment="1" pivotButton="0" quotePrefix="0" xfId="0">
      <alignment horizontal="right" vertical="center"/>
    </xf>
    <xf numFmtId="164" fontId="11" fillId="2" borderId="0" applyAlignment="1" pivotButton="0" quotePrefix="0" xfId="0">
      <alignment horizontal="right" vertical="center"/>
    </xf>
    <xf numFmtId="0" fontId="2" fillId="4" borderId="0" applyAlignment="1" pivotButton="0" quotePrefix="0" xfId="0">
      <alignment horizontal="center" vertical="center"/>
    </xf>
    <xf numFmtId="164" fontId="3" fillId="4" borderId="0" applyAlignment="1" pivotButton="0" quotePrefix="0" xfId="0">
      <alignment horizontal="right" vertical="center"/>
    </xf>
    <xf numFmtId="0" fontId="2" fillId="5" borderId="0" applyAlignment="1" pivotButton="0" quotePrefix="0" xfId="0">
      <alignment horizontal="center" vertical="center"/>
    </xf>
    <xf numFmtId="164" fontId="3" fillId="5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Daily Closing Balance – March 2025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'Balance Trend'!B3</f>
            </strRef>
          </tx>
          <spPr>
            <a:solidFill xmlns:a="http://schemas.openxmlformats.org/drawingml/2006/main">
              <a:srgbClr val="00BFDF"/>
            </a:solidFill>
            <a:ln xmlns:a="http://schemas.openxmlformats.org/drawingml/2006/main">
              <a:solidFill>
                <a:srgbClr val="00A8C4"/>
              </a:solidFill>
              <a:prstDash val="solid"/>
            </a:ln>
          </spPr>
          <cat>
            <numRef>
              <f>'Balance Trend'!$A$4:$A$18</f>
            </numRef>
          </cat>
          <val>
            <numRef>
              <f>'Balance Trend'!$B$4:$B$18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Balance (Rs.)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524000" cy="3619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2</row>
      <rowOff>0</rowOff>
    </from>
    <ext cx="720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44" customWidth="1" min="3" max="3"/>
    <col width="20" customWidth="1" min="4" max="4"/>
    <col width="17" customWidth="1" min="5" max="5"/>
    <col width="17" customWidth="1" min="6" max="6"/>
    <col width="19" customWidth="1" min="7" max="7"/>
  </cols>
  <sheetData>
    <row r="1" ht="48" customHeight="1">
      <c r="A1" s="1" t="inlineStr"/>
    </row>
    <row r="2" ht="4" customHeight="1">
      <c r="A2" s="2" t="n"/>
    </row>
    <row r="3" ht="26" customHeight="1">
      <c r="A3" s="3" t="inlineStr">
        <is>
          <t>TRANSACTION CASHBOOK REPORT</t>
        </is>
      </c>
      <c r="D3" s="4" t="inlineStr">
        <is>
          <t>Period: 01 March 2025 – 31 March 2025  |  Account: Finthesia Demo Ltd  (FN-2025-0042)</t>
        </is>
      </c>
    </row>
    <row r="4" ht="3" customHeight="1">
      <c r="A4" s="5" t="n"/>
      <c r="B4" s="5" t="n"/>
      <c r="C4" s="5" t="n"/>
      <c r="D4" s="5" t="n"/>
      <c r="E4" s="5" t="n"/>
      <c r="F4" s="5" t="n"/>
      <c r="G4" s="5" t="n"/>
    </row>
    <row r="5" ht="22" customHeight="1">
      <c r="A5" s="6" t="inlineStr">
        <is>
          <t>Opening Balance</t>
        </is>
      </c>
      <c r="B5" s="7" t="n"/>
      <c r="C5" s="8" t="inlineStr">
        <is>
          <t>Total Credits  +</t>
        </is>
      </c>
      <c r="D5" s="9" t="n"/>
      <c r="E5" s="10" t="inlineStr">
        <is>
          <t>Total Debits  -</t>
        </is>
      </c>
      <c r="F5" s="11" t="n"/>
      <c r="G5" s="12" t="inlineStr">
        <is>
          <t>Closing Balance</t>
        </is>
      </c>
    </row>
    <row r="6" ht="30" customHeight="1">
      <c r="A6" s="13" t="n">
        <v>125000</v>
      </c>
      <c r="C6" s="14" t="n">
        <v>348500</v>
      </c>
      <c r="E6" s="15" t="n">
        <v>273200</v>
      </c>
      <c r="G6" s="16" t="n">
        <v>200300</v>
      </c>
    </row>
    <row r="7" ht="22" customHeight="1">
      <c r="A7" s="17" t="inlineStr">
        <is>
          <t>Date</t>
        </is>
      </c>
      <c r="B7" s="17" t="inlineStr">
        <is>
          <t>Txn ID</t>
        </is>
      </c>
      <c r="C7" s="17" t="inlineStr">
        <is>
          <t>Description</t>
        </is>
      </c>
      <c r="D7" s="17" t="inlineStr">
        <is>
          <t>Category</t>
        </is>
      </c>
      <c r="E7" s="17" t="inlineStr">
        <is>
          <t>Debit (Rs.)</t>
        </is>
      </c>
      <c r="F7" s="17" t="inlineStr">
        <is>
          <t>Credit (Rs.)</t>
        </is>
      </c>
      <c r="G7" s="17" t="inlineStr">
        <is>
          <t>Balance (Rs.)</t>
        </is>
      </c>
    </row>
    <row r="8" ht="18" customHeight="1">
      <c r="A8" s="18" t="inlineStr">
        <is>
          <t>01-Mar-25</t>
        </is>
      </c>
      <c r="B8" s="19" t="inlineStr">
        <is>
          <t>TXN-0101</t>
        </is>
      </c>
      <c r="C8" s="20" t="inlineStr">
        <is>
          <t>Opening Balance</t>
        </is>
      </c>
      <c r="D8" s="18" t="inlineStr">
        <is>
          <t>—</t>
        </is>
      </c>
      <c r="E8" s="21" t="n"/>
      <c r="F8" s="22" t="n">
        <v>125000</v>
      </c>
      <c r="G8" s="23" t="n">
        <v>125000</v>
      </c>
    </row>
    <row r="9" ht="18" customHeight="1">
      <c r="A9" s="24" t="inlineStr">
        <is>
          <t>03-Mar-25</t>
        </is>
      </c>
      <c r="B9" s="25" t="inlineStr">
        <is>
          <t>TXN-0102</t>
        </is>
      </c>
      <c r="C9" s="26" t="inlineStr">
        <is>
          <t>Client Invoice #INV-2201</t>
        </is>
      </c>
      <c r="D9" s="24" t="inlineStr">
        <is>
          <t>Sales Revenue</t>
        </is>
      </c>
      <c r="E9" s="27" t="n"/>
      <c r="F9" s="28" t="n">
        <v>85000</v>
      </c>
      <c r="G9" s="29" t="n">
        <v>210000</v>
      </c>
    </row>
    <row r="10" ht="18" customHeight="1">
      <c r="A10" s="18" t="inlineStr">
        <is>
          <t>05-Mar-25</t>
        </is>
      </c>
      <c r="B10" s="19" t="inlineStr">
        <is>
          <t>TXN-0103</t>
        </is>
      </c>
      <c r="C10" s="20" t="inlineStr">
        <is>
          <t>Office Rent – March</t>
        </is>
      </c>
      <c r="D10" s="18" t="inlineStr">
        <is>
          <t>Rent &amp; Lease</t>
        </is>
      </c>
      <c r="E10" s="30" t="n">
        <v>45000</v>
      </c>
      <c r="F10" s="21" t="n"/>
      <c r="G10" s="23" t="n">
        <v>165000</v>
      </c>
    </row>
    <row r="11" ht="18" customHeight="1">
      <c r="A11" s="24" t="inlineStr">
        <is>
          <t>07-Mar-25</t>
        </is>
      </c>
      <c r="B11" s="25" t="inlineStr">
        <is>
          <t>TXN-0104</t>
        </is>
      </c>
      <c r="C11" s="26" t="inlineStr">
        <is>
          <t>AWS Cloud Services</t>
        </is>
      </c>
      <c r="D11" s="24" t="inlineStr">
        <is>
          <t>IT &amp; Software</t>
        </is>
      </c>
      <c r="E11" s="31" t="n">
        <v>12500</v>
      </c>
      <c r="F11" s="27" t="n"/>
      <c r="G11" s="29" t="n">
        <v>152500</v>
      </c>
    </row>
    <row r="12" ht="18" customHeight="1">
      <c r="A12" s="18" t="inlineStr">
        <is>
          <t>10-Mar-25</t>
        </is>
      </c>
      <c r="B12" s="19" t="inlineStr">
        <is>
          <t>TXN-0105</t>
        </is>
      </c>
      <c r="C12" s="20" t="inlineStr">
        <is>
          <t>Client Invoice #INV-2202</t>
        </is>
      </c>
      <c r="D12" s="18" t="inlineStr">
        <is>
          <t>Sales Revenue</t>
        </is>
      </c>
      <c r="E12" s="21" t="n"/>
      <c r="F12" s="22" t="n">
        <v>120000</v>
      </c>
      <c r="G12" s="23" t="n">
        <v>272500</v>
      </c>
    </row>
    <row r="13" ht="18" customHeight="1">
      <c r="A13" s="24" t="inlineStr">
        <is>
          <t>12-Mar-25</t>
        </is>
      </c>
      <c r="B13" s="25" t="inlineStr">
        <is>
          <t>TXN-0106</t>
        </is>
      </c>
      <c r="C13" s="26" t="inlineStr">
        <is>
          <t>Employee Salaries</t>
        </is>
      </c>
      <c r="D13" s="24" t="inlineStr">
        <is>
          <t>Payroll</t>
        </is>
      </c>
      <c r="E13" s="31" t="n">
        <v>95000</v>
      </c>
      <c r="F13" s="27" t="n"/>
      <c r="G13" s="29" t="n">
        <v>177500</v>
      </c>
    </row>
    <row r="14" ht="18" customHeight="1">
      <c r="A14" s="18" t="inlineStr">
        <is>
          <t>14-Mar-25</t>
        </is>
      </c>
      <c r="B14" s="19" t="inlineStr">
        <is>
          <t>TXN-0107</t>
        </is>
      </c>
      <c r="C14" s="20" t="inlineStr">
        <is>
          <t>Vendor Payment – Praxis</t>
        </is>
      </c>
      <c r="D14" s="18" t="inlineStr">
        <is>
          <t>Procurement</t>
        </is>
      </c>
      <c r="E14" s="30" t="n">
        <v>28000</v>
      </c>
      <c r="F14" s="21" t="n"/>
      <c r="G14" s="23" t="n">
        <v>149500</v>
      </c>
    </row>
    <row r="15" ht="18" customHeight="1">
      <c r="A15" s="24" t="inlineStr">
        <is>
          <t>17-Mar-25</t>
        </is>
      </c>
      <c r="B15" s="25" t="inlineStr">
        <is>
          <t>TXN-0108</t>
        </is>
      </c>
      <c r="C15" s="26" t="inlineStr">
        <is>
          <t>Consulting Fee Received</t>
        </is>
      </c>
      <c r="D15" s="24" t="inlineStr">
        <is>
          <t>Services</t>
        </is>
      </c>
      <c r="E15" s="27" t="n"/>
      <c r="F15" s="28" t="n">
        <v>62000</v>
      </c>
      <c r="G15" s="29" t="n">
        <v>211500</v>
      </c>
    </row>
    <row r="16" ht="18" customHeight="1">
      <c r="A16" s="18" t="inlineStr">
        <is>
          <t>19-Mar-25</t>
        </is>
      </c>
      <c r="B16" s="19" t="inlineStr">
        <is>
          <t>TXN-0109</t>
        </is>
      </c>
      <c r="C16" s="20" t="inlineStr">
        <is>
          <t>Insurance Premium</t>
        </is>
      </c>
      <c r="D16" s="18" t="inlineStr">
        <is>
          <t>Insurance</t>
        </is>
      </c>
      <c r="E16" s="30" t="n">
        <v>18700</v>
      </c>
      <c r="F16" s="21" t="n"/>
      <c r="G16" s="23" t="n">
        <v>192800</v>
      </c>
    </row>
    <row r="17" ht="18" customHeight="1">
      <c r="A17" s="24" t="inlineStr">
        <is>
          <t>21-Mar-25</t>
        </is>
      </c>
      <c r="B17" s="25" t="inlineStr">
        <is>
          <t>TXN-0110</t>
        </is>
      </c>
      <c r="C17" s="26" t="inlineStr">
        <is>
          <t>Client Advance #ADV-011</t>
        </is>
      </c>
      <c r="D17" s="24" t="inlineStr">
        <is>
          <t>Sales Revenue</t>
        </is>
      </c>
      <c r="E17" s="27" t="n"/>
      <c r="F17" s="28" t="n">
        <v>40000</v>
      </c>
      <c r="G17" s="29" t="n">
        <v>232800</v>
      </c>
    </row>
    <row r="18" ht="18" customHeight="1">
      <c r="A18" s="18" t="inlineStr">
        <is>
          <t>24-Mar-25</t>
        </is>
      </c>
      <c r="B18" s="19" t="inlineStr">
        <is>
          <t>TXN-0111</t>
        </is>
      </c>
      <c r="C18" s="20" t="inlineStr">
        <is>
          <t>Internet &amp; Utilities</t>
        </is>
      </c>
      <c r="D18" s="18" t="inlineStr">
        <is>
          <t>Utilities</t>
        </is>
      </c>
      <c r="E18" s="30" t="n">
        <v>8500</v>
      </c>
      <c r="F18" s="21" t="n"/>
      <c r="G18" s="23" t="n">
        <v>224300</v>
      </c>
    </row>
    <row r="19" ht="18" customHeight="1">
      <c r="A19" s="24" t="inlineStr">
        <is>
          <t>25-Mar-25</t>
        </is>
      </c>
      <c r="B19" s="25" t="inlineStr">
        <is>
          <t>TXN-0112</t>
        </is>
      </c>
      <c r="C19" s="26" t="inlineStr">
        <is>
          <t>Travel – Client Visit</t>
        </is>
      </c>
      <c r="D19" s="24" t="inlineStr">
        <is>
          <t>Travel</t>
        </is>
      </c>
      <c r="E19" s="31" t="n">
        <v>15200</v>
      </c>
      <c r="F19" s="27" t="n"/>
      <c r="G19" s="29" t="n">
        <v>209100</v>
      </c>
    </row>
    <row r="20" ht="18" customHeight="1">
      <c r="A20" s="18" t="inlineStr">
        <is>
          <t>27-Mar-25</t>
        </is>
      </c>
      <c r="B20" s="19" t="inlineStr">
        <is>
          <t>TXN-0113</t>
        </is>
      </c>
      <c r="C20" s="20" t="inlineStr">
        <is>
          <t>Subscription – Adobe CC</t>
        </is>
      </c>
      <c r="D20" s="18" t="inlineStr">
        <is>
          <t>IT &amp; Software</t>
        </is>
      </c>
      <c r="E20" s="30" t="n">
        <v>4300</v>
      </c>
      <c r="F20" s="21" t="n"/>
      <c r="G20" s="23" t="n">
        <v>204800</v>
      </c>
    </row>
    <row r="21" ht="18" customHeight="1">
      <c r="A21" s="24" t="inlineStr">
        <is>
          <t>29-Mar-25</t>
        </is>
      </c>
      <c r="B21" s="25" t="inlineStr">
        <is>
          <t>TXN-0114</t>
        </is>
      </c>
      <c r="C21" s="26" t="inlineStr">
        <is>
          <t>Interest Income</t>
        </is>
      </c>
      <c r="D21" s="24" t="inlineStr">
        <is>
          <t>Finance</t>
        </is>
      </c>
      <c r="E21" s="27" t="n"/>
      <c r="F21" s="28" t="n">
        <v>6500</v>
      </c>
      <c r="G21" s="29" t="n">
        <v>211300</v>
      </c>
    </row>
    <row r="22" ht="18" customHeight="1">
      <c r="A22" s="18" t="inlineStr">
        <is>
          <t>31-Mar-25</t>
        </is>
      </c>
      <c r="B22" s="19" t="inlineStr">
        <is>
          <t>TXN-0115</t>
        </is>
      </c>
      <c r="C22" s="20" t="inlineStr">
        <is>
          <t>Bank Charges – March</t>
        </is>
      </c>
      <c r="D22" s="18" t="inlineStr">
        <is>
          <t>Banking</t>
        </is>
      </c>
      <c r="E22" s="30" t="n">
        <v>11000</v>
      </c>
      <c r="F22" s="21" t="n"/>
      <c r="G22" s="23" t="n">
        <v>200300</v>
      </c>
    </row>
    <row r="23" ht="24" customHeight="1">
      <c r="A23" s="32" t="inlineStr">
        <is>
          <t>TOTALS</t>
        </is>
      </c>
      <c r="B23" s="33" t="inlineStr"/>
      <c r="C23" s="33" t="inlineStr"/>
      <c r="D23" s="33" t="inlineStr"/>
      <c r="E23" s="34">
        <f>SUM(E8:E22)</f>
        <v/>
      </c>
      <c r="F23" s="35">
        <f>SUM(F8:F22)</f>
        <v/>
      </c>
      <c r="G23" s="36" t="n">
        <v>200300</v>
      </c>
    </row>
    <row r="25" ht="16" customHeight="1">
      <c r="A25" s="37" t="inlineStr">
        <is>
          <t>finthesia  |  support@finthesia.com  |  www.finthesia.com  |  Sample/Demo Data – All figures are fictional</t>
        </is>
      </c>
    </row>
  </sheetData>
  <mergeCells count="13">
    <mergeCell ref="E6:F6"/>
    <mergeCell ref="A1:G1"/>
    <mergeCell ref="D3:G3"/>
    <mergeCell ref="C6:D6"/>
    <mergeCell ref="C5:D5"/>
    <mergeCell ref="A5:B5"/>
    <mergeCell ref="E5:F5"/>
    <mergeCell ref="A2:G2"/>
    <mergeCell ref="A3:C3"/>
    <mergeCell ref="A25:G25"/>
    <mergeCell ref="A6:B6"/>
    <mergeCell ref="G6"/>
    <mergeCell ref="G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</cols>
  <sheetData>
    <row r="1" ht="32" customHeight="1">
      <c r="A1" s="38" t="inlineStr">
        <is>
          <t>finthesia  ·  Ledger Summary – March 2025</t>
        </is>
      </c>
    </row>
    <row r="2" ht="4" customHeight="1">
      <c r="A2" s="2" t="n"/>
    </row>
    <row r="3" ht="22" customHeight="1">
      <c r="A3" s="39" t="inlineStr">
        <is>
          <t>Category</t>
        </is>
      </c>
      <c r="B3" s="32" t="inlineStr">
        <is>
          <t>Total Debit (Rs.)</t>
        </is>
      </c>
      <c r="C3" s="32" t="inlineStr">
        <is>
          <t>Total Credit (Rs.)</t>
        </is>
      </c>
      <c r="D3" s="32" t="inlineStr">
        <is>
          <t>Net (Rs.)</t>
        </is>
      </c>
    </row>
    <row r="4" ht="18" customHeight="1">
      <c r="A4" s="40" t="inlineStr">
        <is>
          <t>Sales Revenue</t>
        </is>
      </c>
      <c r="B4" s="41" t="inlineStr">
        <is>
          <t>-</t>
        </is>
      </c>
      <c r="C4" s="42" t="n">
        <v>245000</v>
      </c>
      <c r="D4" s="43" t="n">
        <v>245000</v>
      </c>
    </row>
    <row r="5" ht="18" customHeight="1">
      <c r="A5" s="44" t="inlineStr">
        <is>
          <t>Payroll</t>
        </is>
      </c>
      <c r="B5" s="45" t="n">
        <v>95000</v>
      </c>
      <c r="C5" s="46" t="inlineStr">
        <is>
          <t>-</t>
        </is>
      </c>
      <c r="D5" s="47" t="n">
        <v>-95000</v>
      </c>
    </row>
    <row r="6" ht="18" customHeight="1">
      <c r="A6" s="40" t="inlineStr">
        <is>
          <t>Rent &amp; Lease</t>
        </is>
      </c>
      <c r="B6" s="48" t="n">
        <v>45000</v>
      </c>
      <c r="C6" s="41" t="inlineStr">
        <is>
          <t>-</t>
        </is>
      </c>
      <c r="D6" s="49" t="n">
        <v>-45000</v>
      </c>
    </row>
    <row r="7" ht="18" customHeight="1">
      <c r="A7" s="44" t="inlineStr">
        <is>
          <t>Services</t>
        </is>
      </c>
      <c r="B7" s="46" t="inlineStr">
        <is>
          <t>-</t>
        </is>
      </c>
      <c r="C7" s="50" t="n">
        <v>62000</v>
      </c>
      <c r="D7" s="51" t="n">
        <v>62000</v>
      </c>
    </row>
    <row r="8" ht="18" customHeight="1">
      <c r="A8" s="40" t="inlineStr">
        <is>
          <t>IT &amp; Software</t>
        </is>
      </c>
      <c r="B8" s="48" t="n">
        <v>16800</v>
      </c>
      <c r="C8" s="41" t="inlineStr">
        <is>
          <t>-</t>
        </is>
      </c>
      <c r="D8" s="49" t="n">
        <v>-16800</v>
      </c>
    </row>
    <row r="9" ht="18" customHeight="1">
      <c r="A9" s="44" t="inlineStr">
        <is>
          <t>Procurement</t>
        </is>
      </c>
      <c r="B9" s="45" t="n">
        <v>28000</v>
      </c>
      <c r="C9" s="46" t="inlineStr">
        <is>
          <t>-</t>
        </is>
      </c>
      <c r="D9" s="47" t="n">
        <v>-28000</v>
      </c>
    </row>
    <row r="10" ht="18" customHeight="1">
      <c r="A10" s="40" t="inlineStr">
        <is>
          <t>Insurance</t>
        </is>
      </c>
      <c r="B10" s="48" t="n">
        <v>18700</v>
      </c>
      <c r="C10" s="41" t="inlineStr">
        <is>
          <t>-</t>
        </is>
      </c>
      <c r="D10" s="49" t="n">
        <v>-18700</v>
      </c>
    </row>
    <row r="11" ht="18" customHeight="1">
      <c r="A11" s="44" t="inlineStr">
        <is>
          <t>Utilities</t>
        </is>
      </c>
      <c r="B11" s="45" t="n">
        <v>8500</v>
      </c>
      <c r="C11" s="46" t="inlineStr">
        <is>
          <t>-</t>
        </is>
      </c>
      <c r="D11" s="47" t="n">
        <v>-8500</v>
      </c>
    </row>
    <row r="12" ht="18" customHeight="1">
      <c r="A12" s="40" t="inlineStr">
        <is>
          <t>Travel</t>
        </is>
      </c>
      <c r="B12" s="48" t="n">
        <v>15200</v>
      </c>
      <c r="C12" s="41" t="inlineStr">
        <is>
          <t>-</t>
        </is>
      </c>
      <c r="D12" s="49" t="n">
        <v>-15200</v>
      </c>
    </row>
    <row r="13" ht="18" customHeight="1">
      <c r="A13" s="44" t="inlineStr">
        <is>
          <t>Finance</t>
        </is>
      </c>
      <c r="B13" s="46" t="inlineStr">
        <is>
          <t>-</t>
        </is>
      </c>
      <c r="C13" s="50" t="n">
        <v>6500</v>
      </c>
      <c r="D13" s="51" t="n">
        <v>6500</v>
      </c>
    </row>
    <row r="14" ht="18" customHeight="1">
      <c r="A14" s="40" t="inlineStr">
        <is>
          <t>Banking</t>
        </is>
      </c>
      <c r="B14" s="48" t="n">
        <v>11000</v>
      </c>
      <c r="C14" s="41" t="inlineStr">
        <is>
          <t>-</t>
        </is>
      </c>
      <c r="D14" s="49" t="n">
        <v>-11000</v>
      </c>
    </row>
    <row r="15" ht="18" customHeight="1">
      <c r="A15" s="44" t="inlineStr">
        <is>
          <t>Opening Bal</t>
        </is>
      </c>
      <c r="B15" s="46" t="inlineStr">
        <is>
          <t>-</t>
        </is>
      </c>
      <c r="C15" s="50" t="n">
        <v>125000</v>
      </c>
      <c r="D15" s="51" t="n">
        <v>125000</v>
      </c>
    </row>
    <row r="16" ht="22" customHeight="1">
      <c r="A16" s="32" t="inlineStr">
        <is>
          <t>TOTALS</t>
        </is>
      </c>
      <c r="B16" s="52">
        <f>SUM(B4:B15)</f>
        <v/>
      </c>
      <c r="C16" s="52">
        <f>SUM(C4:C15)</f>
        <v/>
      </c>
      <c r="D16" s="52">
        <f>SUM(D4:D15)</f>
        <v/>
      </c>
    </row>
    <row r="18">
      <c r="A18" s="37" t="inlineStr">
        <is>
          <t>finthesia  |  support@finthesia.com  |  Sample/Demo Data</t>
        </is>
      </c>
    </row>
  </sheetData>
  <mergeCells count="3">
    <mergeCell ref="A1:D1"/>
    <mergeCell ref="A18:D18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0" customWidth="1" min="2" max="2"/>
  </cols>
  <sheetData>
    <row r="1" ht="28" customHeight="1">
      <c r="A1" s="38" t="inlineStr">
        <is>
          <t>finthesia  ·  Daily Balance Trend – March 2025</t>
        </is>
      </c>
    </row>
    <row r="2" ht="4" customHeight="1">
      <c r="A2" s="2" t="n"/>
    </row>
    <row r="3">
      <c r="A3" s="32" t="inlineStr">
        <is>
          <t>Date</t>
        </is>
      </c>
      <c r="B3" s="32" t="inlineStr">
        <is>
          <t>Balance (Rs.)</t>
        </is>
      </c>
    </row>
    <row r="4">
      <c r="A4" s="53" t="inlineStr">
        <is>
          <t>01-Mar</t>
        </is>
      </c>
      <c r="B4" s="54" t="n">
        <v>125000</v>
      </c>
    </row>
    <row r="5">
      <c r="A5" s="55" t="inlineStr">
        <is>
          <t>03-Mar</t>
        </is>
      </c>
      <c r="B5" s="56" t="n">
        <v>210000</v>
      </c>
    </row>
    <row r="6">
      <c r="A6" s="53" t="inlineStr">
        <is>
          <t>05-Mar</t>
        </is>
      </c>
      <c r="B6" s="54" t="n">
        <v>165000</v>
      </c>
    </row>
    <row r="7">
      <c r="A7" s="55" t="inlineStr">
        <is>
          <t>07-Mar</t>
        </is>
      </c>
      <c r="B7" s="56" t="n">
        <v>152500</v>
      </c>
    </row>
    <row r="8">
      <c r="A8" s="53" t="inlineStr">
        <is>
          <t>10-Mar</t>
        </is>
      </c>
      <c r="B8" s="54" t="n">
        <v>272500</v>
      </c>
    </row>
    <row r="9">
      <c r="A9" s="55" t="inlineStr">
        <is>
          <t>12-Mar</t>
        </is>
      </c>
      <c r="B9" s="56" t="n">
        <v>177500</v>
      </c>
    </row>
    <row r="10">
      <c r="A10" s="53" t="inlineStr">
        <is>
          <t>14-Mar</t>
        </is>
      </c>
      <c r="B10" s="54" t="n">
        <v>149500</v>
      </c>
    </row>
    <row r="11">
      <c r="A11" s="55" t="inlineStr">
        <is>
          <t>17-Mar</t>
        </is>
      </c>
      <c r="B11" s="56" t="n">
        <v>211500</v>
      </c>
    </row>
    <row r="12">
      <c r="A12" s="53" t="inlineStr">
        <is>
          <t>19-Mar</t>
        </is>
      </c>
      <c r="B12" s="54" t="n">
        <v>192800</v>
      </c>
    </row>
    <row r="13">
      <c r="A13" s="55" t="inlineStr">
        <is>
          <t>21-Mar</t>
        </is>
      </c>
      <c r="B13" s="56" t="n">
        <v>232800</v>
      </c>
    </row>
    <row r="14">
      <c r="A14" s="53" t="inlineStr">
        <is>
          <t>24-Mar</t>
        </is>
      </c>
      <c r="B14" s="54" t="n">
        <v>224300</v>
      </c>
    </row>
    <row r="15">
      <c r="A15" s="55" t="inlineStr">
        <is>
          <t>25-Mar</t>
        </is>
      </c>
      <c r="B15" s="56" t="n">
        <v>209100</v>
      </c>
    </row>
    <row r="16">
      <c r="A16" s="53" t="inlineStr">
        <is>
          <t>27-Mar</t>
        </is>
      </c>
      <c r="B16" s="54" t="n">
        <v>204800</v>
      </c>
    </row>
    <row r="17">
      <c r="A17" s="55" t="inlineStr">
        <is>
          <t>29-Mar</t>
        </is>
      </c>
      <c r="B17" s="56" t="n">
        <v>211300</v>
      </c>
    </row>
    <row r="18">
      <c r="A18" s="53" t="inlineStr">
        <is>
          <t>31-Mar</t>
        </is>
      </c>
      <c r="B18" s="54" t="n">
        <v>200300</v>
      </c>
    </row>
  </sheetData>
  <mergeCells count="2">
    <mergeCell ref="A1:C1"/>
    <mergeCell ref="A2:C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2026-04-06T05:43:37Z</dcterms:created>
  <dcterms:modified xmlns:dcterms="http://purl.org/dc/terms/" xmlns:xsi="http://www.w3.org/2001/XMLSchema-instance" xsi:type="dcterms:W3CDTF">2026-04-06T05:43:37Z</dcterms:modified>
</cp:coreProperties>
</file>